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xxx/Desktop/Учеба/parallel_computing/2_Lab/"/>
    </mc:Choice>
  </mc:AlternateContent>
  <xr:revisionPtr revIDLastSave="0" documentId="8_{53DB7054-55CD-CD45-9F47-8984D7AC9454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Table" sheetId="1" r:id="rId1"/>
    <sheet name="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C8" i="2"/>
  <c r="D7" i="2"/>
  <c r="C7" i="2"/>
  <c r="B7" i="2"/>
  <c r="D6" i="2"/>
  <c r="C6" i="2"/>
  <c r="D5" i="2"/>
  <c r="B5" i="2"/>
  <c r="D4" i="2"/>
  <c r="B4" i="2"/>
  <c r="D3" i="2"/>
  <c r="B3" i="2"/>
  <c r="D2" i="2"/>
  <c r="C2" i="2"/>
  <c r="B2" i="2"/>
  <c r="P5" i="1"/>
  <c r="C9" i="2" s="1"/>
  <c r="N5" i="1"/>
  <c r="L5" i="1"/>
  <c r="J5" i="1"/>
  <c r="H5" i="1"/>
  <c r="C5" i="2" s="1"/>
  <c r="F5" i="1"/>
  <c r="C4" i="2" s="1"/>
  <c r="D5" i="1"/>
  <c r="C3" i="2" s="1"/>
  <c r="P4" i="1"/>
  <c r="B9" i="2" s="1"/>
  <c r="N4" i="1"/>
  <c r="B8" i="2" s="1"/>
  <c r="L4" i="1"/>
  <c r="J4" i="1"/>
  <c r="B6" i="2" s="1"/>
  <c r="H4" i="1"/>
  <c r="F4" i="1"/>
  <c r="D4" i="1"/>
</calcChain>
</file>

<file path=xl/sharedStrings.xml><?xml version="1.0" encoding="utf-8"?>
<sst xmlns="http://schemas.openxmlformats.org/spreadsheetml/2006/main" count="31" uniqueCount="31">
  <si>
    <t>M = N</t>
  </si>
  <si>
    <t>Количество потоков</t>
  </si>
  <si>
    <t>1</t>
  </si>
  <si>
    <t>2</t>
  </si>
  <si>
    <t>4</t>
  </si>
  <si>
    <t>7</t>
  </si>
  <si>
    <t>8</t>
  </si>
  <si>
    <t>16</t>
  </si>
  <si>
    <t>20</t>
  </si>
  <si>
    <t>40</t>
  </si>
  <si>
    <t>T1</t>
  </si>
  <si>
    <t>T2</t>
  </si>
  <si>
    <t>S2</t>
  </si>
  <si>
    <t>T4</t>
  </si>
  <si>
    <t>S4</t>
  </si>
  <si>
    <t>T7</t>
  </si>
  <si>
    <t>S7</t>
  </si>
  <si>
    <t>T8</t>
  </si>
  <si>
    <t>S8</t>
  </si>
  <si>
    <t>T16</t>
  </si>
  <si>
    <t>S16</t>
  </si>
  <si>
    <t>T20</t>
  </si>
  <si>
    <t>S20</t>
  </si>
  <si>
    <t>T40</t>
  </si>
  <si>
    <t>S40</t>
  </si>
  <si>
    <t>20000
(~ 3 GiB)</t>
  </si>
  <si>
    <t>40000
(~ 12 GiB)</t>
  </si>
  <si>
    <t>Потоки</t>
  </si>
  <si>
    <t>S (20000)</t>
  </si>
  <si>
    <t>S (40000)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</si>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</sst>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1" applyFont="1" applyBorder="1" applyAlignment="1">
      <alignment horizontal="center" vertical="center" wrapText="1"/>
    </xf>
    <xf numFmtId="0" fontId="0" fillId="0" borderId="1" xfId="1" applyFont="1" applyBorder="1"/>
    <xf numFmtId="164" fontId="0" fillId="0" borderId="1" xfId="1" applyNumberFormat="1" applyFont="1" applyBorder="1"/>
    <xf numFmtId="0" fontId="1" fillId="0" borderId="0" xfId="1" applyFont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2">
    <cellStyle name="Обычный" xfId="0" builtinId="0"/>
    <cellStyle name="Normal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r>
              <a:t>Ускорение от числа потоков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Chart!$D$1</c:f>
              <c:strCache>
                <c:ptCount val="1"/>
                <c:pt idx="0">
                  <c:v>Linear</c:v>
                </c:pt>
              </c:strCache>
            </c:strRef>
          </c:tx>
          <c:spPr>
            <a:ln w="20000"/>
          </c:spPr>
          <c:marker>
            <c:symbol val="circle"/>
            <c:size val="5"/>
          </c:marker>
          <c:cat>
            <c:numRef>
              <c:f>Chart!$A$2:$A$9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16</c:v>
                </c:pt>
                <c:pt idx="6">
                  <c:v>20</c:v>
                </c:pt>
                <c:pt idx="7">
                  <c:v>40</c:v>
                </c:pt>
              </c:numCache>
            </c:numRef>
          </c:cat>
          <c:val>
            <c:numRef>
              <c:f>Chart!$D$2:$D$9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16</c:v>
                </c:pt>
                <c:pt idx="6">
                  <c:v>20</c:v>
                </c:pt>
                <c:pt idx="7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D-E24F-8E7E-ECF625BCD5C4}"/>
            </c:ext>
          </c:extLst>
        </c:ser>
        <c:ser>
          <c:idx val="1"/>
          <c:order val="1"/>
          <c:tx>
            <c:strRef>
              <c:f>Chart!$B$1</c:f>
              <c:strCache>
                <c:ptCount val="1"/>
                <c:pt idx="0">
                  <c:v>S (20000)</c:v>
                </c:pt>
              </c:strCache>
            </c:strRef>
          </c:tx>
          <c:spPr>
            <a:ln/>
          </c:spPr>
          <c:marker>
            <c:symbol val="circle"/>
            <c:size val="5"/>
          </c:marker>
          <c:cat>
            <c:numRef>
              <c:f>Chart!$A$2:$A$9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16</c:v>
                </c:pt>
                <c:pt idx="6">
                  <c:v>20</c:v>
                </c:pt>
                <c:pt idx="7">
                  <c:v>40</c:v>
                </c:pt>
              </c:numCache>
            </c:numRef>
          </c:cat>
          <c:val>
            <c:numRef>
              <c:f>Chart!$B$2:$B$9</c:f>
              <c:numCache>
                <c:formatCode>0.000</c:formatCode>
                <c:ptCount val="8"/>
                <c:pt idx="0">
                  <c:v>1</c:v>
                </c:pt>
                <c:pt idx="1">
                  <c:v>1.8971715452814275</c:v>
                </c:pt>
                <c:pt idx="2">
                  <c:v>3.9551473778378443</c:v>
                </c:pt>
                <c:pt idx="3">
                  <c:v>6.9255696066369516</c:v>
                </c:pt>
                <c:pt idx="4">
                  <c:v>7.1806078349365672</c:v>
                </c:pt>
                <c:pt idx="5">
                  <c:v>15.537851009304942</c:v>
                </c:pt>
                <c:pt idx="6">
                  <c:v>19.553997338714115</c:v>
                </c:pt>
                <c:pt idx="7">
                  <c:v>22.010901499757484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D-E24F-8E7E-ECF625BCD5C4}"/>
            </c:ext>
          </c:extLst>
        </c:ser>
        <c:ser>
          <c:idx val="2"/>
          <c:order val="2"/>
          <c:tx>
            <c:strRef>
              <c:f>Chart!$C$1</c:f>
              <c:strCache>
                <c:ptCount val="1"/>
                <c:pt idx="0">
                  <c:v>S (40000)</c:v>
                </c:pt>
              </c:strCache>
            </c:strRef>
          </c:tx>
          <c:spPr>
            <a:ln/>
          </c:spPr>
          <c:marker>
            <c:symbol val="circle"/>
            <c:size val="5"/>
          </c:marker>
          <c:cat>
            <c:numRef>
              <c:f>Chart!$A$2:$A$9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16</c:v>
                </c:pt>
                <c:pt idx="6">
                  <c:v>20</c:v>
                </c:pt>
                <c:pt idx="7">
                  <c:v>40</c:v>
                </c:pt>
              </c:numCache>
            </c:numRef>
          </c:cat>
          <c:val>
            <c:numRef>
              <c:f>Chart!$C$2:$C$9</c:f>
              <c:numCache>
                <c:formatCode>0.000</c:formatCode>
                <c:ptCount val="8"/>
                <c:pt idx="0">
                  <c:v>1</c:v>
                </c:pt>
                <c:pt idx="1">
                  <c:v>1.8374879407462732</c:v>
                </c:pt>
                <c:pt idx="2">
                  <c:v>3.6649552641146372</c:v>
                </c:pt>
                <c:pt idx="3">
                  <c:v>6.5347617933328683</c:v>
                </c:pt>
                <c:pt idx="4">
                  <c:v>7.338330806188722</c:v>
                </c:pt>
                <c:pt idx="5">
                  <c:v>15.363752950578963</c:v>
                </c:pt>
                <c:pt idx="6">
                  <c:v>19.006511662129348</c:v>
                </c:pt>
                <c:pt idx="7">
                  <c:v>22.500421908769713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5D-E24F-8E7E-ECF625BCD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25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10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H3" sqref="H3"/>
    </sheetView>
  </sheetViews>
  <sheetFormatPr baseColWidth="10" defaultColWidth="8.83203125" defaultRowHeight="15" x14ac:dyDescent="0.2"/>
  <cols>
    <col min="1" max="1" width="16" customWidth="1"/>
    <col min="2" max="16" width="11" customWidth="1"/>
  </cols>
  <sheetData>
    <row r="1" spans="1:16" ht="42.75" customHeight="1" x14ac:dyDescent="0.2">
      <c r="A1" s="7" t="s">
        <v>0</v>
      </c>
      <c r="B1" s="7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0"/>
    </row>
    <row r="2" spans="1:16" ht="35.75" customHeight="1" x14ac:dyDescent="0.2">
      <c r="A2" s="8"/>
      <c r="B2" s="1" t="s">
        <v>2</v>
      </c>
      <c r="C2" s="7" t="s">
        <v>3</v>
      </c>
      <c r="D2" s="10"/>
      <c r="E2" s="7" t="s">
        <v>4</v>
      </c>
      <c r="F2" s="10"/>
      <c r="G2" s="7" t="s">
        <v>5</v>
      </c>
      <c r="H2" s="10"/>
      <c r="I2" s="7" t="s">
        <v>6</v>
      </c>
      <c r="J2" s="10"/>
      <c r="K2" s="7" t="s">
        <v>7</v>
      </c>
      <c r="L2" s="10"/>
      <c r="M2" s="7" t="s">
        <v>8</v>
      </c>
      <c r="N2" s="10"/>
      <c r="O2" s="7" t="s">
        <v>9</v>
      </c>
      <c r="P2" s="10"/>
    </row>
    <row r="3" spans="1:16" ht="35.75" customHeight="1" x14ac:dyDescent="0.2">
      <c r="A3" s="9"/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24</v>
      </c>
    </row>
    <row r="4" spans="1:16" ht="57" customHeight="1" x14ac:dyDescent="0.2">
      <c r="A4" s="1" t="s">
        <v>25</v>
      </c>
      <c r="B4" s="2">
        <v>1.03013</v>
      </c>
      <c r="C4" s="2">
        <v>0.54298199999999996</v>
      </c>
      <c r="D4" s="3">
        <f>IF(OR($B4="",C4=""),"",$B4/C4)</f>
        <v>1.8971715452814275</v>
      </c>
      <c r="E4" s="2">
        <v>0.26045299999999999</v>
      </c>
      <c r="F4" s="3">
        <f>IF(OR($B4="",E4=""),"",$B4/E4)</f>
        <v>3.9551473778378443</v>
      </c>
      <c r="G4" s="2">
        <v>0.14874299999999999</v>
      </c>
      <c r="H4" s="3">
        <f>IF(OR($B4="",G4=""),"",$B4/G4)</f>
        <v>6.9255696066369516</v>
      </c>
      <c r="I4" s="2">
        <v>0.14346</v>
      </c>
      <c r="J4" s="3">
        <f>IF(OR($B4="",I4=""),"",$B4/I4)</f>
        <v>7.1806078349365672</v>
      </c>
      <c r="K4" s="2">
        <v>6.6298099999999999E-2</v>
      </c>
      <c r="L4" s="3">
        <f>IF(OR($B4="",K4=""),"",$B4/K4)</f>
        <v>15.537851009304942</v>
      </c>
      <c r="M4" s="2">
        <v>5.26813E-2</v>
      </c>
      <c r="N4" s="3">
        <f>IF(OR($B4="",M4=""),"",$B4/M4)</f>
        <v>19.553997338714115</v>
      </c>
      <c r="O4">
        <v>4.6800899999999999E-2</v>
      </c>
      <c r="P4" s="3">
        <f>IF(OR($B4="",O4=""),"",$B4/O4)</f>
        <v>22.010901499757484</v>
      </c>
    </row>
    <row r="5" spans="1:16" ht="57" customHeight="1" x14ac:dyDescent="0.2">
      <c r="A5" s="1" t="s">
        <v>26</v>
      </c>
      <c r="B5" s="2">
        <v>4.1330799999999996</v>
      </c>
      <c r="C5" s="2">
        <v>2.2493099999999999</v>
      </c>
      <c r="D5" s="3">
        <f>B5/C5</f>
        <v>1.8374879407462732</v>
      </c>
      <c r="E5" s="2">
        <v>1.1277299999999999</v>
      </c>
      <c r="F5" s="3">
        <f>IF(OR($B5="",E5=""),"",$B5/E5)</f>
        <v>3.6649552641146372</v>
      </c>
      <c r="G5" s="2">
        <v>0.63247600000000004</v>
      </c>
      <c r="H5" s="3">
        <f>IF(OR($B5="",G5=""),"",$B5/G5)</f>
        <v>6.5347617933328683</v>
      </c>
      <c r="I5" s="2">
        <v>0.563218</v>
      </c>
      <c r="J5" s="3">
        <f>IF(OR($B5="",I5=""),"",$B5/I5)</f>
        <v>7.338330806188722</v>
      </c>
      <c r="K5" s="2">
        <v>0.269015</v>
      </c>
      <c r="L5" s="3">
        <f>IF(OR($B5="",K5=""),"",$B5/K5)</f>
        <v>15.363752950578963</v>
      </c>
      <c r="M5" s="2">
        <v>0.21745600000000001</v>
      </c>
      <c r="N5" s="3">
        <f>IF(OR($B5="",M5=""),"",$B5/M5)</f>
        <v>19.006511662129348</v>
      </c>
      <c r="O5" s="2">
        <v>0.18368899999999999</v>
      </c>
      <c r="P5" s="3">
        <f>IF(OR($B5="",O5=""),"",$B5/O5)</f>
        <v>22.500421908769713</v>
      </c>
    </row>
  </sheetData>
  <mergeCells count="9">
    <mergeCell ref="A1:A3"/>
    <mergeCell ref="M2:N2"/>
    <mergeCell ref="O2:P2"/>
    <mergeCell ref="C2:D2"/>
    <mergeCell ref="G2:H2"/>
    <mergeCell ref="E2:F2"/>
    <mergeCell ref="K2:L2"/>
    <mergeCell ref="I2:J2"/>
    <mergeCell ref="B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baseColWidth="10" defaultColWidth="8.83203125" defaultRowHeight="15" x14ac:dyDescent="0.2"/>
  <cols>
    <col min="1" max="1" width="10" customWidth="1"/>
    <col min="2" max="3" width="12" customWidth="1"/>
  </cols>
  <sheetData>
    <row r="1" spans="1:4" ht="21.25" customHeight="1" x14ac:dyDescent="0.2">
      <c r="A1" s="4" t="s">
        <v>27</v>
      </c>
      <c r="B1" s="4" t="s">
        <v>28</v>
      </c>
      <c r="C1" s="4" t="s">
        <v>29</v>
      </c>
      <c r="D1" t="s">
        <v>30</v>
      </c>
    </row>
    <row r="2" spans="1:4" ht="21.25" customHeight="1" x14ac:dyDescent="0.2">
      <c r="A2" s="5">
        <v>1</v>
      </c>
      <c r="B2" s="6">
        <f>IF(Table!$B$4="","",1)</f>
        <v>1</v>
      </c>
      <c r="C2" s="6">
        <f>IF(Table!$B$5="","",1)</f>
        <v>1</v>
      </c>
      <c r="D2">
        <f t="shared" ref="D2:D9" si="0">A2</f>
        <v>1</v>
      </c>
    </row>
    <row r="3" spans="1:4" ht="21.25" customHeight="1" x14ac:dyDescent="0.2">
      <c r="A3" s="5">
        <v>2</v>
      </c>
      <c r="B3" s="6">
        <f>Table!D4</f>
        <v>1.8971715452814275</v>
      </c>
      <c r="C3" s="6">
        <f>Table!D5</f>
        <v>1.8374879407462732</v>
      </c>
      <c r="D3">
        <f t="shared" si="0"/>
        <v>2</v>
      </c>
    </row>
    <row r="4" spans="1:4" ht="21.25" customHeight="1" x14ac:dyDescent="0.2">
      <c r="A4" s="5">
        <v>4</v>
      </c>
      <c r="B4" s="6">
        <f>Table!F4</f>
        <v>3.9551473778378443</v>
      </c>
      <c r="C4" s="6">
        <f>Table!F5</f>
        <v>3.6649552641146372</v>
      </c>
      <c r="D4">
        <f t="shared" si="0"/>
        <v>4</v>
      </c>
    </row>
    <row r="5" spans="1:4" ht="21.25" customHeight="1" x14ac:dyDescent="0.2">
      <c r="A5" s="5">
        <v>7</v>
      </c>
      <c r="B5" s="6">
        <f>Table!H4</f>
        <v>6.9255696066369516</v>
      </c>
      <c r="C5" s="6">
        <f>Table!H5</f>
        <v>6.5347617933328683</v>
      </c>
      <c r="D5">
        <f t="shared" si="0"/>
        <v>7</v>
      </c>
    </row>
    <row r="6" spans="1:4" ht="21.25" customHeight="1" x14ac:dyDescent="0.2">
      <c r="A6" s="5">
        <v>8</v>
      </c>
      <c r="B6" s="6">
        <f>Table!J4</f>
        <v>7.1806078349365672</v>
      </c>
      <c r="C6" s="6">
        <f>Table!J5</f>
        <v>7.338330806188722</v>
      </c>
      <c r="D6">
        <f t="shared" si="0"/>
        <v>8</v>
      </c>
    </row>
    <row r="7" spans="1:4" ht="21.25" customHeight="1" x14ac:dyDescent="0.2">
      <c r="A7" s="5">
        <v>16</v>
      </c>
      <c r="B7" s="6">
        <f>Table!L4</f>
        <v>15.537851009304942</v>
      </c>
      <c r="C7" s="6">
        <f>Table!L5</f>
        <v>15.363752950578963</v>
      </c>
      <c r="D7">
        <f t="shared" si="0"/>
        <v>16</v>
      </c>
    </row>
    <row r="8" spans="1:4" ht="21.25" customHeight="1" x14ac:dyDescent="0.2">
      <c r="A8" s="5">
        <v>20</v>
      </c>
      <c r="B8" s="6">
        <f>Table!N4</f>
        <v>19.553997338714115</v>
      </c>
      <c r="C8" s="6">
        <f>Table!N5</f>
        <v>19.006511662129348</v>
      </c>
      <c r="D8">
        <f t="shared" si="0"/>
        <v>20</v>
      </c>
    </row>
    <row r="9" spans="1:4" ht="21.25" customHeight="1" x14ac:dyDescent="0.2">
      <c r="A9" s="5">
        <v>40</v>
      </c>
      <c r="B9" s="6">
        <f>Table!P4</f>
        <v>22.010901499757484</v>
      </c>
      <c r="C9" s="6">
        <f>Table!P5</f>
        <v>22.500421908769713</v>
      </c>
      <c r="D9">
        <f t="shared" si="0"/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/ .</cp:lastModifiedBy>
  <dcterms:created xsi:type="dcterms:W3CDTF">2026-02-23T08:41:36Z</dcterms:created>
  <dcterms:modified xsi:type="dcterms:W3CDTF">2026-02-23T08:41:36Z</dcterms:modified>
</cp:coreProperties>
</file>